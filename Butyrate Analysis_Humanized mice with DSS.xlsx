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technionmail-my.sharepoint.com/personal/kra_valeriia_campus_technion_ac_il/Documents/Desktop/LAB/WRITING/papers/biosensor_paper/data/aadditional data/"/>
    </mc:Choice>
  </mc:AlternateContent>
  <xr:revisionPtr revIDLastSave="1" documentId="11_EF6E0CD2574FF282E6E1BDE789902642A4C56143" xr6:coauthVersionLast="47" xr6:coauthVersionMax="47" xr10:uidLastSave="{4A020C4C-B3B4-4D1C-8792-AD01149F0FA8}"/>
  <bookViews>
    <workbookView minimized="1" xWindow="3375" yWindow="3375" windowWidth="21600" windowHeight="11295" xr2:uid="{00000000-000D-0000-FFFF-FFFF00000000}"/>
  </bookViews>
  <sheets>
    <sheet name="humanized butyrate 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3" i="1"/>
  <c r="E11" i="1"/>
  <c r="E10" i="1" s="1"/>
  <c r="E9" i="1" s="1"/>
  <c r="E8" i="1" s="1"/>
  <c r="E7" i="1" s="1"/>
  <c r="E6" i="1" s="1"/>
  <c r="E5" i="1" s="1"/>
  <c r="E4" i="1" s="1"/>
</calcChain>
</file>

<file path=xl/sharedStrings.xml><?xml version="1.0" encoding="utf-8"?>
<sst xmlns="http://schemas.openxmlformats.org/spreadsheetml/2006/main" count="9" uniqueCount="7">
  <si>
    <t>AUC</t>
  </si>
  <si>
    <t>C[mM]</t>
  </si>
  <si>
    <t>Stool-DSS</t>
  </si>
  <si>
    <t>Stool-healthy</t>
  </si>
  <si>
    <t>Cecum-DSS</t>
  </si>
  <si>
    <t>Cecum-healthy</t>
  </si>
  <si>
    <t>Humanized mice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</si>
</sst>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charset val="177"/>
      <scheme val="minor"/>
    </font>
    <font>
      <sz val="8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5" xfId="0" applyBorder="1"/>
    <xf numFmtId="2" fontId="0" fillId="0" borderId="4" xfId="0" applyNumberFormat="1" applyBorder="1" applyAlignment="1">
      <alignment horizontal="center" vertical="center"/>
    </xf>
    <xf numFmtId="11" fontId="0" fillId="0" borderId="0" xfId="0" applyNumberFormat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1" fontId="0" fillId="0" borderId="0" xfId="0" applyNumberFormat="1" applyAlignment="1">
      <alignment horizontal="center" vertical="center"/>
    </xf>
    <xf numFmtId="0" fontId="0" fillId="2" borderId="0" xfId="0" applyFill="1"/>
    <xf numFmtId="11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1" fontId="0" fillId="2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Butyric Acid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1420166229221348E-2"/>
                  <c:y val="-4.671296296296296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'humanized butyrate analysis'!$E$4:$E$12</c:f>
              <c:numCache>
                <c:formatCode>0.00</c:formatCode>
                <c:ptCount val="9"/>
                <c:pt idx="0">
                  <c:v>4.2578125000000001E-2</c:v>
                </c:pt>
                <c:pt idx="1">
                  <c:v>8.5156250000000003E-2</c:v>
                </c:pt>
                <c:pt idx="2">
                  <c:v>0.17031250000000001</c:v>
                </c:pt>
                <c:pt idx="3">
                  <c:v>0.34062500000000001</c:v>
                </c:pt>
                <c:pt idx="4">
                  <c:v>0.68125000000000002</c:v>
                </c:pt>
                <c:pt idx="5">
                  <c:v>1.3625</c:v>
                </c:pt>
                <c:pt idx="6">
                  <c:v>2.7250000000000001</c:v>
                </c:pt>
                <c:pt idx="7">
                  <c:v>5.45</c:v>
                </c:pt>
                <c:pt idx="8">
                  <c:v>10.9</c:v>
                </c:pt>
              </c:numCache>
            </c:numRef>
          </c:xVal>
          <c:yVal>
            <c:numRef>
              <c:f>'humanized butyrate analysis'!$F$4:$F$12</c:f>
              <c:numCache>
                <c:formatCode>0.00E+00</c:formatCode>
                <c:ptCount val="9"/>
                <c:pt idx="0">
                  <c:v>52964</c:v>
                </c:pt>
                <c:pt idx="1">
                  <c:v>88981</c:v>
                </c:pt>
                <c:pt idx="2">
                  <c:v>240418</c:v>
                </c:pt>
                <c:pt idx="3">
                  <c:v>528690</c:v>
                </c:pt>
                <c:pt idx="4">
                  <c:v>1577192</c:v>
                </c:pt>
                <c:pt idx="5">
                  <c:v>4676204</c:v>
                </c:pt>
                <c:pt idx="6">
                  <c:v>14383272</c:v>
                </c:pt>
                <c:pt idx="7">
                  <c:v>42368076</c:v>
                </c:pt>
                <c:pt idx="8">
                  <c:v>92657969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33-4093-BC9F-B6EDECF26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1958575"/>
        <c:axId val="1241958159"/>
      </c:scatterChart>
      <c:valAx>
        <c:axId val="1241958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958159"/>
        <c:crosses val="autoZero"/>
        <c:crossBetween val="midCat"/>
      </c:valAx>
      <c:valAx>
        <c:axId val="124195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958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396240</xdr:colOff>
      <xdr:row>2</xdr:row>
      <xdr:rowOff>3810</xdr:rowOff>
    </xdr:from>
    <xdr:to>
      <xdr:col>14</xdr:col>
      <xdr:colOff>91440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3E60AC-4F28-476C-9628-1D4A329A40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workbookViewId="0">
      <selection activeCell="C10" sqref="C10"/>
    </sheetView>
  </sheetViews>
  <sheetFormatPr defaultRowHeight="15" x14ac:dyDescent="0.25"/>
  <cols>
    <col min="1" max="1" width="15" customWidth="1"/>
    <col min="2" max="2" width="15.42578125" style="12" customWidth="1"/>
    <col min="5" max="5" width="12.140625" customWidth="1"/>
  </cols>
  <sheetData>
    <row r="1" spans="1:15" ht="15.75" thickBot="1" x14ac:dyDescent="0.3">
      <c r="A1" s="18" t="s">
        <v>6</v>
      </c>
    </row>
    <row r="2" spans="1:15" ht="15.75" thickTop="1" x14ac:dyDescent="0.25">
      <c r="A2" s="13"/>
      <c r="B2" s="14" t="s">
        <v>0</v>
      </c>
      <c r="C2" s="15" t="s">
        <v>1</v>
      </c>
      <c r="D2" s="19"/>
      <c r="E2" s="1"/>
      <c r="F2" s="2"/>
      <c r="G2" s="2"/>
      <c r="H2" s="2"/>
      <c r="I2" s="2"/>
      <c r="J2" s="2"/>
      <c r="K2" s="2"/>
      <c r="L2" s="2"/>
      <c r="M2" s="2"/>
      <c r="N2" s="2"/>
      <c r="O2" s="3"/>
    </row>
    <row r="3" spans="1:15" x14ac:dyDescent="0.25">
      <c r="A3" s="13" t="s">
        <v>2</v>
      </c>
      <c r="B3" s="16">
        <v>1468987</v>
      </c>
      <c r="C3" s="17">
        <f>(B3+3000000)/9000000</f>
        <v>0.49655411111111109</v>
      </c>
      <c r="D3" s="19"/>
      <c r="E3" s="4" t="s">
        <v>1</v>
      </c>
      <c r="F3" t="s">
        <v>0</v>
      </c>
      <c r="O3" s="5"/>
    </row>
    <row r="4" spans="1:15" x14ac:dyDescent="0.25">
      <c r="A4" s="13" t="s">
        <v>3</v>
      </c>
      <c r="B4" s="16">
        <v>5120170</v>
      </c>
      <c r="C4" s="17">
        <f t="shared" ref="C4:C6" si="0">(B4+3000000)/9000000</f>
        <v>0.90224111111111116</v>
      </c>
      <c r="D4" s="19"/>
      <c r="E4" s="6">
        <f t="shared" ref="E4:E11" si="1">E5/2</f>
        <v>4.2578125000000001E-2</v>
      </c>
      <c r="F4" s="7">
        <v>52964</v>
      </c>
      <c r="O4" s="5"/>
    </row>
    <row r="5" spans="1:15" x14ac:dyDescent="0.25">
      <c r="A5" s="13" t="s">
        <v>4</v>
      </c>
      <c r="B5" s="16">
        <v>6034201</v>
      </c>
      <c r="C5" s="17">
        <f t="shared" si="0"/>
        <v>1.003800111111111</v>
      </c>
      <c r="D5" s="19"/>
      <c r="E5" s="6">
        <f t="shared" si="1"/>
        <v>8.5156250000000003E-2</v>
      </c>
      <c r="F5" s="7">
        <v>88981</v>
      </c>
      <c r="O5" s="5"/>
    </row>
    <row r="6" spans="1:15" x14ac:dyDescent="0.25">
      <c r="A6" s="13" t="s">
        <v>5</v>
      </c>
      <c r="B6" s="16">
        <v>3220432</v>
      </c>
      <c r="C6" s="17">
        <f t="shared" si="0"/>
        <v>0.69115911111111106</v>
      </c>
      <c r="D6" s="19"/>
      <c r="E6" s="6">
        <f t="shared" si="1"/>
        <v>0.17031250000000001</v>
      </c>
      <c r="F6" s="7">
        <v>240418</v>
      </c>
      <c r="O6" s="5"/>
    </row>
    <row r="7" spans="1:15" x14ac:dyDescent="0.25">
      <c r="E7" s="6">
        <f t="shared" si="1"/>
        <v>0.34062500000000001</v>
      </c>
      <c r="F7" s="7">
        <v>528690</v>
      </c>
      <c r="O7" s="5"/>
    </row>
    <row r="8" spans="1:15" x14ac:dyDescent="0.25">
      <c r="E8" s="6">
        <f t="shared" si="1"/>
        <v>0.68125000000000002</v>
      </c>
      <c r="F8" s="7">
        <v>1577192</v>
      </c>
      <c r="O8" s="5"/>
    </row>
    <row r="9" spans="1:15" x14ac:dyDescent="0.25">
      <c r="E9" s="6">
        <f t="shared" si="1"/>
        <v>1.3625</v>
      </c>
      <c r="F9" s="7">
        <v>4676204</v>
      </c>
      <c r="O9" s="5"/>
    </row>
    <row r="10" spans="1:15" x14ac:dyDescent="0.25">
      <c r="E10" s="6">
        <f t="shared" si="1"/>
        <v>2.7250000000000001</v>
      </c>
      <c r="F10" s="7">
        <v>14383272</v>
      </c>
      <c r="O10" s="5"/>
    </row>
    <row r="11" spans="1:15" x14ac:dyDescent="0.25">
      <c r="E11" s="6">
        <f t="shared" si="1"/>
        <v>5.45</v>
      </c>
      <c r="F11" s="7">
        <v>42368076</v>
      </c>
      <c r="O11" s="5"/>
    </row>
    <row r="12" spans="1:15" x14ac:dyDescent="0.25">
      <c r="E12" s="6">
        <v>10.9</v>
      </c>
      <c r="F12" s="7">
        <v>92657969</v>
      </c>
      <c r="O12" s="5"/>
    </row>
    <row r="13" spans="1:15" x14ac:dyDescent="0.25">
      <c r="E13" s="8"/>
      <c r="O13" s="5"/>
    </row>
    <row r="14" spans="1:15" x14ac:dyDescent="0.25">
      <c r="E14" s="8"/>
      <c r="O14" s="5"/>
    </row>
    <row r="15" spans="1:15" x14ac:dyDescent="0.25">
      <c r="E15" s="8"/>
      <c r="O15" s="5"/>
    </row>
    <row r="16" spans="1:15" x14ac:dyDescent="0.25">
      <c r="E16" s="8"/>
      <c r="O16" s="5"/>
    </row>
    <row r="17" spans="5:15" x14ac:dyDescent="0.25">
      <c r="E17" s="8"/>
      <c r="O17" s="5"/>
    </row>
    <row r="18" spans="5:15" x14ac:dyDescent="0.25">
      <c r="E18" s="8"/>
      <c r="O18" s="5"/>
    </row>
    <row r="19" spans="5:15" ht="15.75" thickBot="1" x14ac:dyDescent="0.3">
      <c r="E19" s="9"/>
      <c r="F19" s="10"/>
      <c r="G19" s="10"/>
      <c r="H19" s="10"/>
      <c r="I19" s="10"/>
      <c r="J19" s="10"/>
      <c r="K19" s="10"/>
      <c r="L19" s="10"/>
      <c r="M19" s="10"/>
      <c r="N19" s="10"/>
      <c r="O19" s="11"/>
    </row>
    <row r="20" spans="5:15" ht="15.75" thickTop="1" x14ac:dyDescent="0.25"/>
  </sheetData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humanized butyrate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Ifat Gavish-Abramovich</dc:creator>
  <cp:lastModifiedBy>Valeriia Kravchik</cp:lastModifiedBy>
  <dcterms:created xsi:type="dcterms:W3CDTF">2025-04-07T16:28:15Z</dcterms:created>
  <dcterms:modified xsi:type="dcterms:W3CDTF">2025-12-16T13:07:11Z</dcterms:modified>
</cp:coreProperties>
</file>